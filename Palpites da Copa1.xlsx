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sl\OneDrive\Documentos\"/>
    </mc:Choice>
  </mc:AlternateContent>
  <xr:revisionPtr revIDLastSave="0" documentId="8_{D8690FFC-238E-432D-909B-094FCEC3F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 a="1"/>
  <c r="R8" i="1" s="1"/>
  <c r="R7" i="1" a="1"/>
  <c r="R7" i="1" s="1"/>
  <c r="R6" i="1" a="1"/>
  <c r="R6" i="1" s="1"/>
  <c r="R5" i="1" a="1"/>
  <c r="R5" i="1" s="1"/>
  <c r="R4" i="1" a="1"/>
  <c r="R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<sst xmlns="http://schemas.openxmlformats.org/spreadsheetml/2006/main" count="106" uniqueCount="63">
  <si>
    <t>Palpites da Copa</t>
  </si>
  <si>
    <t>Datas</t>
  </si>
  <si>
    <t>Jogos</t>
  </si>
  <si>
    <t>Enos</t>
  </si>
  <si>
    <t>Gabriel</t>
  </si>
  <si>
    <t>Jairo</t>
  </si>
  <si>
    <t>Paulo</t>
  </si>
  <si>
    <t>Thyago</t>
  </si>
  <si>
    <t>Pontuação</t>
  </si>
  <si>
    <t>Mexico</t>
  </si>
  <si>
    <t>Africa do Sul</t>
  </si>
  <si>
    <t>Coreia do Sul</t>
  </si>
  <si>
    <t>República Tcheca</t>
  </si>
  <si>
    <t>Canadá</t>
  </si>
  <si>
    <t>Bósnia</t>
  </si>
  <si>
    <t>EUA</t>
  </si>
  <si>
    <t>Paraguai</t>
  </si>
  <si>
    <t>13/06/2026</t>
  </si>
  <si>
    <t>Catar</t>
  </si>
  <si>
    <t>Suíça</t>
  </si>
  <si>
    <t>Brasil</t>
  </si>
  <si>
    <t>Marrocos</t>
  </si>
  <si>
    <t>Haiti</t>
  </si>
  <si>
    <t>Escócia</t>
  </si>
  <si>
    <t>14/06/2026</t>
  </si>
  <si>
    <t>Australia</t>
  </si>
  <si>
    <t>Turquia</t>
  </si>
  <si>
    <t>Alemanha</t>
  </si>
  <si>
    <t>Curaçau</t>
  </si>
  <si>
    <t>Holanda</t>
  </si>
  <si>
    <t>Japão</t>
  </si>
  <si>
    <t>Costa do Marfim</t>
  </si>
  <si>
    <t>Equador</t>
  </si>
  <si>
    <t>Suécia</t>
  </si>
  <si>
    <t>Tunísia</t>
  </si>
  <si>
    <t>15/06/2026</t>
  </si>
  <si>
    <t>Espanha</t>
  </si>
  <si>
    <t>Cabo Verde</t>
  </si>
  <si>
    <t>Bélgica</t>
  </si>
  <si>
    <t>Egito</t>
  </si>
  <si>
    <t>Arábia Saudita</t>
  </si>
  <si>
    <t>Uruguai</t>
  </si>
  <si>
    <t>Irã</t>
  </si>
  <si>
    <t>Nova Zelândia</t>
  </si>
  <si>
    <t>França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</si>
  <si>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</si>
  <si>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</si>
  <si>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</si>
  <si>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</si>
  <si>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</si>
  <si>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</si>
  <si>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</si>
  <si>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</si>
  <si>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</si>
  <si>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</si>
  <si>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Croácia</t>
  </si>
  <si>
    <t>Gana</t>
  </si>
  <si>
    <t>Panamá</t>
  </si>
  <si>
    <t>Uzbequistão</t>
  </si>
  <si>
    <t>Colômbia</t>
  </si>
  <si>
    <t>Austrália</t>
  </si>
  <si>
    <t>Curacao</t>
  </si>
  <si>
    <t>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</si>
</sst>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Arial"/>
      <charset val="1"/>
    </font>
    <font>
      <sz val="10"/>
      <color theme="1"/>
      <name val="Arial"/>
      <charset val="1"/>
    </font>
    <font>
      <b/>
      <sz val="13"/>
      <color theme="1"/>
      <name val="Arial"/>
      <charset val="1"/>
    </font>
    <font>
      <b/>
      <sz val="10"/>
      <color theme="1"/>
      <name val="Arial"/>
      <charset val="1"/>
    </font>
    <font>
      <b/>
      <i/>
      <sz val="12"/>
      <color theme="1"/>
      <name val="Arial"/>
      <charset val="1"/>
    </font>
    <font>
      <sz val="12"/>
      <color theme="1"/>
      <name val="Arial"/>
      <charset val="1"/>
    </font>
    <font>
      <b/>
      <sz val="14"/>
      <color theme="1"/>
      <name val="Arial"/>
      <charset val="1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readingOrder="1"/>
    </xf>
    <xf numFmtId="0" fontId="4" fillId="0" borderId="0" xfId="0" applyFont="1" applyAlignment="1">
      <alignment horizontal="center" readingOrder="1"/>
    </xf>
    <xf numFmtId="2" fontId="0" fillId="0" borderId="0" xfId="0" applyNumberFormat="1"/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readingOrder="1"/>
    </xf>
    <xf numFmtId="0" fontId="7" fillId="0" borderId="5" xfId="0" applyFont="1" applyBorder="1" applyAlignment="1">
      <alignment horizontal="center" readingOrder="1"/>
    </xf>
    <xf numFmtId="0" fontId="5" fillId="0" borderId="8" xfId="0" applyFont="1" applyBorder="1" applyAlignment="1">
      <alignment horizontal="center" vertical="center" readingOrder="1"/>
    </xf>
    <xf numFmtId="0" fontId="5" fillId="0" borderId="10" xfId="0" applyFont="1" applyBorder="1" applyAlignment="1">
      <alignment horizontal="center" vertical="center" readingOrder="1"/>
    </xf>
    <xf numFmtId="0" fontId="9" fillId="0" borderId="11" xfId="0" applyFont="1" applyBorder="1" applyAlignment="1">
      <alignment horizontal="center" vertical="center" readingOrder="1"/>
    </xf>
    <xf numFmtId="0" fontId="6" fillId="0" borderId="8" xfId="0" applyFont="1" applyBorder="1" applyAlignment="1">
      <alignment horizontal="center" vertical="center" readingOrder="1"/>
    </xf>
    <xf numFmtId="0" fontId="6" fillId="0" borderId="9" xfId="0" applyFont="1" applyBorder="1" applyAlignment="1">
      <alignment horizontal="center" vertical="center" readingOrder="1"/>
    </xf>
    <xf numFmtId="0" fontId="6" fillId="2" borderId="8" xfId="0" applyFont="1" applyFill="1" applyBorder="1" applyAlignment="1">
      <alignment horizontal="center" vertical="center" readingOrder="1"/>
    </xf>
    <xf numFmtId="0" fontId="8" fillId="0" borderId="4" xfId="0" applyFont="1" applyBorder="1" applyAlignment="1">
      <alignment horizontal="center" vertical="center" readingOrder="1"/>
    </xf>
    <xf numFmtId="0" fontId="8" fillId="0" borderId="14" xfId="0" applyFont="1" applyBorder="1" applyAlignment="1">
      <alignment horizontal="center" vertical="center" readingOrder="1"/>
    </xf>
    <xf numFmtId="0" fontId="6" fillId="0" borderId="13" xfId="0" applyFont="1" applyBorder="1" applyAlignment="1">
      <alignment horizontal="center" vertical="center" readingOrder="1"/>
    </xf>
    <xf numFmtId="0" fontId="6" fillId="0" borderId="15" xfId="0" applyFont="1" applyBorder="1" applyAlignment="1">
      <alignment horizontal="center" vertical="center" readingOrder="1"/>
    </xf>
    <xf numFmtId="0" fontId="6" fillId="3" borderId="8" xfId="0" applyFont="1" applyFill="1" applyBorder="1" applyAlignment="1">
      <alignment horizontal="center" vertical="center" readingOrder="1"/>
    </xf>
    <xf numFmtId="0" fontId="6" fillId="3" borderId="9" xfId="0" applyFont="1" applyFill="1" applyBorder="1" applyAlignment="1">
      <alignment horizontal="center" vertical="center" readingOrder="1"/>
    </xf>
    <xf numFmtId="0" fontId="6" fillId="3" borderId="10" xfId="0" applyFont="1" applyFill="1" applyBorder="1" applyAlignment="1">
      <alignment horizontal="center" vertical="center" readingOrder="1"/>
    </xf>
    <xf numFmtId="0" fontId="6" fillId="3" borderId="12" xfId="0" applyFont="1" applyFill="1" applyBorder="1" applyAlignment="1">
      <alignment horizontal="center" vertical="center" readingOrder="1"/>
    </xf>
    <xf numFmtId="14" fontId="5" fillId="0" borderId="16" xfId="0" applyNumberFormat="1" applyFont="1" applyBorder="1" applyAlignment="1">
      <alignment horizontal="center" vertical="center" readingOrder="1"/>
    </xf>
    <xf numFmtId="14" fontId="5" fillId="0" borderId="17" xfId="0" applyNumberFormat="1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 readingOrder="1"/>
    </xf>
    <xf numFmtId="0" fontId="5" fillId="0" borderId="13" xfId="0" applyFont="1" applyBorder="1" applyAlignment="1">
      <alignment horizontal="center" vertical="center" readingOrder="1"/>
    </xf>
    <xf numFmtId="0" fontId="5" fillId="0" borderId="18" xfId="0" applyFont="1" applyBorder="1" applyAlignment="1">
      <alignment horizontal="center" vertical="center" readingOrder="1"/>
    </xf>
    <xf numFmtId="0" fontId="5" fillId="0" borderId="19" xfId="0" applyFont="1" applyBorder="1" applyAlignment="1">
      <alignment horizontal="center" vertical="center" readingOrder="1"/>
    </xf>
    <xf numFmtId="0" fontId="5" fillId="0" borderId="20" xfId="0" applyFont="1" applyBorder="1" applyAlignment="1">
      <alignment horizontal="center" vertical="center" readingOrder="1"/>
    </xf>
    <xf numFmtId="0" fontId="6" fillId="0" borderId="18" xfId="0" applyFont="1" applyBorder="1" applyAlignment="1">
      <alignment horizontal="center" vertical="center" readingOrder="1"/>
    </xf>
    <xf numFmtId="0" fontId="6" fillId="0" borderId="19" xfId="0" applyFont="1" applyBorder="1" applyAlignment="1">
      <alignment horizontal="center" vertical="center" readingOrder="1"/>
    </xf>
    <xf numFmtId="0" fontId="6" fillId="3" borderId="19" xfId="0" applyFont="1" applyFill="1" applyBorder="1" applyAlignment="1">
      <alignment horizontal="center" vertical="center" readingOrder="1"/>
    </xf>
    <xf numFmtId="0" fontId="6" fillId="3" borderId="20" xfId="0" applyFont="1" applyFill="1" applyBorder="1" applyAlignment="1">
      <alignment horizontal="center" vertical="center" readingOrder="1"/>
    </xf>
    <xf numFmtId="0" fontId="6" fillId="2" borderId="19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readingOrder="1"/>
    </xf>
    <xf numFmtId="0" fontId="1" fillId="0" borderId="0" xfId="0" applyFont="1" applyAlignment="1">
      <alignment horizontal="center" vertical="center" readingOrder="1"/>
    </xf>
    <xf numFmtId="0" fontId="7" fillId="0" borderId="6" xfId="0" applyFont="1" applyBorder="1" applyAlignment="1">
      <alignment horizontal="center" readingOrder="1"/>
    </xf>
    <xf numFmtId="0" fontId="7" fillId="0" borderId="7" xfId="0" applyFont="1" applyBorder="1" applyAlignment="1">
      <alignment horizontal="center" readingOrder="1"/>
    </xf>
    <xf numFmtId="0" fontId="7" fillId="0" borderId="2" xfId="0" applyFont="1" applyBorder="1" applyAlignment="1">
      <alignment horizontal="center" readingOrder="1"/>
    </xf>
    <xf numFmtId="0" fontId="7" fillId="0" borderId="3" xfId="0" applyFont="1" applyBorder="1" applyAlignment="1">
      <alignment horizontal="center" readingOrder="1"/>
    </xf>
    <xf numFmtId="0" fontId="7" fillId="0" borderId="5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workbookViewId="0">
      <selection activeCell="R11" sqref="R11"/>
    </sheetView>
  </sheetViews>
  <sheetFormatPr defaultRowHeight="14.4" x14ac:dyDescent="0.3"/>
  <cols>
    <col min="1" max="1" width="13.5546875" bestFit="1" customWidth="1"/>
    <col min="2" max="2" width="20.33203125" bestFit="1" customWidth="1"/>
    <col min="5" max="5" width="20.33203125" bestFit="1" customWidth="1"/>
    <col min="18" max="18" width="16.44140625" customWidth="1"/>
  </cols>
  <sheetData>
    <row r="1" spans="1:18" ht="22.8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1"/>
      <c r="Q1" s="1"/>
      <c r="R1" s="1"/>
    </row>
    <row r="2" spans="1:18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8" thickBot="1" x14ac:dyDescent="0.35">
      <c r="A3" s="7" t="s">
        <v>1</v>
      </c>
      <c r="B3" s="36" t="s">
        <v>2</v>
      </c>
      <c r="C3" s="36"/>
      <c r="D3" s="36"/>
      <c r="E3" s="37"/>
      <c r="F3" s="38" t="s">
        <v>3</v>
      </c>
      <c r="G3" s="39"/>
      <c r="H3" s="40" t="s">
        <v>4</v>
      </c>
      <c r="I3" s="39"/>
      <c r="J3" s="40" t="s">
        <v>5</v>
      </c>
      <c r="K3" s="39"/>
      <c r="L3" s="40" t="s">
        <v>6</v>
      </c>
      <c r="M3" s="39"/>
      <c r="N3" s="40" t="s">
        <v>7</v>
      </c>
      <c r="O3" s="37"/>
      <c r="P3" s="2"/>
      <c r="Q3" s="34" t="s">
        <v>8</v>
      </c>
      <c r="R3" s="34"/>
    </row>
    <row r="4" spans="1:18" ht="15.6" x14ac:dyDescent="0.3">
      <c r="A4" s="22">
        <v>46332</v>
      </c>
      <c r="B4" s="25" t="s">
        <v>9</v>
      </c>
      <c r="C4" s="15">
        <v>2</v>
      </c>
      <c r="D4" s="15">
        <v>0</v>
      </c>
      <c r="E4" s="26" t="s">
        <v>10</v>
      </c>
      <c r="F4" s="16">
        <v>3</v>
      </c>
      <c r="G4" s="29">
        <v>1</v>
      </c>
      <c r="H4" s="16">
        <v>3</v>
      </c>
      <c r="I4" s="29">
        <v>0</v>
      </c>
      <c r="J4" s="16">
        <v>3</v>
      </c>
      <c r="K4" s="29">
        <v>2</v>
      </c>
      <c r="L4" s="16">
        <v>3</v>
      </c>
      <c r="M4" s="29">
        <v>0</v>
      </c>
      <c r="N4" s="16">
        <v>3</v>
      </c>
      <c r="O4" s="17">
        <v>1</v>
      </c>
      <c r="P4" s="1"/>
      <c r="Q4" s="4" t="s">
        <v>3</v>
      </c>
      <c r="R4" s="5" cm="1">
        <f t="array" ref="R4">IFERROR(_xlfn.LET(_xlpm.linhaParticipante,ROW()-ROW($R$4),_xlpm.colunaPalpite,1+_xlpm.linhaParticipante*2,_xlpm.resultadoCasa,$C$4:$C43,_xlpm.resultadoFora,$D$4:$D$43,_xlpm.palpiteCasa,INDEX($F$4:$O$43,0,_xlpm.colunaPalpite),_xlpm.palpiteFora,INDEX($F$4:$O$43,0,_xlpm.colunaPalpite+1),_xlpm.valorResultadoCasa,IFERROR(VALUE(_xlpm.resultadoCasa),""),_xlpm.valorResultadoFora,IFERROR(VALUE(_xlpm.resultadoFora),""),_xlpm.valorPalpiteCasa,IFERROR(VALUE(_xlpm.palpiteCasa),""),_xlpm.valorPalpiteFora,IFERROR(VALUE(_xlpm.palpiteFora),""),_xlpm.linhaOk,--(_xlpm.resultadoCasa&lt;&gt;"")*--(_xlpm.resultadoFora&lt;&gt;"")*--(_xlpm.palpiteCasa&lt;&gt;"")*--(_xlpm.palpiteFora&lt;&gt;"")*--ISNUMBER(_xlpm.valorResultadoCasa)*--ISNUMBER(_xlpm.valorResultadoFora)*--ISNUMBER(_xlpm.valorPalpiteCasa)*--ISNUMBER(_xlpm.valorPalpiteFora),_xlpm.difResultado,_xlpm.valorResultadoCasa-_xlpm.valorResultadoFora,_xlpm.difPalpite,_xlpm.valorPalpiteCasa-_xlpm.valorPalpiteFora,_xlpm.placarExato,--(_xlpm.valorResultadoCasa=_xlpm.valorPalpiteCasa)*--(_xlpm.valorResultadoFora=_xlpm.valorPalpiteFora),_xlpm.acertouVencedor,--(SIGN(_xlpm.difResultado)=SIGN(_xlpm.difPalpite)),_xlpm.diferencaOk,--(_xlpm.difResultado=_xlpm.difPalpite)*--(SIGN(_xlpm.difResultado)&lt;&gt;0),_xlpm.perdedorOk,_xlpm.acertouVencedor*--(((_xlpm.difResultado&gt;0)*(_xlpm.valorPalpiteFora=_xlpm.valorResultadoFora)+(_xlpm.difResultado&lt;0)*(_xlpm.valorPalpiteCasa=_xlpm.valorResultadoCasa))&gt;0),_xlpm.goleadaOk,--(ABS(_xlpm.difResultado)&gt;=4)*--(SIGN(_xlpm.difResultado)&lt;&gt;0)*_xlpm.acertouVencedor,SUMPRODUCT(_xlpm.linhaOk*(5*_xlpm.placarExato+(1-_xlpm.placarExato)*(3*_xlpm.acertouVencedor+2*_xlpm.diferencaOk+_xlpm.perdedorOk+_xlpm.goleadaOk)))),0)</f>
        <v>83</v>
      </c>
    </row>
    <row r="5" spans="1:18" ht="15.6" x14ac:dyDescent="0.3">
      <c r="A5" s="23">
        <v>46332</v>
      </c>
      <c r="B5" s="8" t="s">
        <v>11</v>
      </c>
      <c r="C5" s="14">
        <v>2</v>
      </c>
      <c r="D5" s="14">
        <v>1</v>
      </c>
      <c r="E5" s="27" t="s">
        <v>12</v>
      </c>
      <c r="F5" s="11">
        <v>1</v>
      </c>
      <c r="G5" s="30">
        <v>1</v>
      </c>
      <c r="H5" s="11">
        <v>1</v>
      </c>
      <c r="I5" s="30">
        <v>1</v>
      </c>
      <c r="J5" s="11">
        <v>3</v>
      </c>
      <c r="K5" s="30">
        <v>0</v>
      </c>
      <c r="L5" s="11">
        <v>0</v>
      </c>
      <c r="M5" s="30">
        <v>1</v>
      </c>
      <c r="N5" s="11">
        <v>3</v>
      </c>
      <c r="O5" s="12">
        <v>0</v>
      </c>
      <c r="P5" s="1"/>
      <c r="Q5" s="4" t="s">
        <v>4</v>
      </c>
      <c r="R5" s="5" cm="1">
        <f t="array" ref="R5">IFERROR(_xlfn.LET(_xlpm.linhaParticipante,ROW()-ROW($R$4),_xlpm.colunaPalpite,1+_xlpm.linhaParticipante*2,_xlpm.resultadoCasa,$C$4:$C43,_xlpm.resultadoFora,$D$4:$D$43,_xlpm.palpiteCasa,INDEX($F$4:$O$43,0,_xlpm.colunaPalpite),_xlpm.palpiteFora,INDEX($F$4:$O$43,0,_xlpm.colunaPalpite+1),_xlpm.valorResultadoCasa,IFERROR(VALUE(_xlpm.resultadoCasa),""),_xlpm.valorResultadoFora,IFERROR(VALUE(_xlpm.resultadoFora),""),_xlpm.valorPalpiteCasa,IFERROR(VALUE(_xlpm.palpiteCasa),""),_xlpm.valorPalpiteFora,IFERROR(VALUE(_xlpm.palpiteFora),""),_xlpm.linhaOk,--(_xlpm.resultadoCasa&lt;&gt;"")*--(_xlpm.resultadoFora&lt;&gt;"")*--(_xlpm.palpiteCasa&lt;&gt;"")*--(_xlpm.palpiteFora&lt;&gt;"")*--ISNUMBER(_xlpm.valorResultadoCasa)*--ISNUMBER(_xlpm.valorResultadoFora)*--ISNUMBER(_xlpm.valorPalpiteCasa)*--ISNUMBER(_xlpm.valorPalpiteFora),_xlpm.difResultado,_xlpm.valorResultadoCasa-_xlpm.valorResultadoFora,_xlpm.difPalpite,_xlpm.valorPalpiteCasa-_xlpm.valorPalpiteFora,_xlpm.placarExato,--(_xlpm.valorResultadoCasa=_xlpm.valorPalpiteCasa)*--(_xlpm.valorResultadoFora=_xlpm.valorPalpiteFora),_xlpm.acertouVencedor,--(SIGN(_xlpm.difResultado)=SIGN(_xlpm.difPalpite)),_xlpm.diferencaOk,--(_xlpm.difResultado=_xlpm.difPalpite)*--(SIGN(_xlpm.difResultado)&lt;&gt;0),_xlpm.perdedorOk,_xlpm.acertouVencedor*--(((_xlpm.difResultado&gt;0)*(_xlpm.valorPalpiteFora=_xlpm.valorResultadoFora)+(_xlpm.difResultado&lt;0)*(_xlpm.valorPalpiteCasa=_xlpm.valorResultadoCasa))&gt;0),_xlpm.goleadaOk,--(ABS(_xlpm.difResultado)&gt;=4)*--(SIGN(_xlpm.difResultado)&lt;&gt;0)*_xlpm.acertouVencedor,SUMPRODUCT(_xlpm.linhaOk*(5*_xlpm.placarExato+(1-_xlpm.placarExato)*(3*_xlpm.acertouVencedor+2*_xlpm.diferencaOk+_xlpm.perdedorOk+_xlpm.goleadaOk)))),0)</f>
        <v>93</v>
      </c>
    </row>
    <row r="6" spans="1:18" ht="15.6" x14ac:dyDescent="0.3">
      <c r="A6" s="23">
        <v>46362</v>
      </c>
      <c r="B6" s="8" t="s">
        <v>13</v>
      </c>
      <c r="C6" s="6">
        <v>1</v>
      </c>
      <c r="D6" s="6">
        <v>1</v>
      </c>
      <c r="E6" s="27" t="s">
        <v>14</v>
      </c>
      <c r="F6" s="11">
        <v>1</v>
      </c>
      <c r="G6" s="30">
        <v>1</v>
      </c>
      <c r="H6" s="11">
        <v>1</v>
      </c>
      <c r="I6" s="30">
        <v>0</v>
      </c>
      <c r="J6" s="11">
        <v>2</v>
      </c>
      <c r="K6" s="30">
        <v>0</v>
      </c>
      <c r="L6" s="13"/>
      <c r="M6" s="33"/>
      <c r="N6" s="11">
        <v>2</v>
      </c>
      <c r="O6" s="12">
        <v>0</v>
      </c>
      <c r="P6" s="1"/>
      <c r="Q6" s="4" t="s">
        <v>5</v>
      </c>
      <c r="R6" s="5" cm="1">
        <f t="array" ref="R6">IFERROR(_xlfn.LET(_xlpm.linhaParticipante,ROW()-ROW($R$4),_xlpm.colunaPalpite,1+_xlpm.linhaParticipante*2,_xlpm.resultadoCasa,$C$4:$C43,_xlpm.resultadoFora,$D$4:$D$43,_xlpm.palpiteCasa,INDEX($F$4:$O$43,0,_xlpm.colunaPalpite),_xlpm.palpiteFora,INDEX($F$4:$O$43,0,_xlpm.colunaPalpite+1),_xlpm.valorResultadoCasa,IFERROR(VALUE(_xlpm.resultadoCasa),""),_xlpm.valorResultadoFora,IFERROR(VALUE(_xlpm.resultadoFora),""),_xlpm.valorPalpiteCasa,IFERROR(VALUE(_xlpm.palpiteCasa),""),_xlpm.valorPalpiteFora,IFERROR(VALUE(_xlpm.palpiteFora),""),_xlpm.linhaOk,--(_xlpm.resultadoCasa&lt;&gt;"")*--(_xlpm.resultadoFora&lt;&gt;"")*--(_xlpm.palpiteCasa&lt;&gt;"")*--(_xlpm.palpiteFora&lt;&gt;"")*--ISNUMBER(_xlpm.valorResultadoCasa)*--ISNUMBER(_xlpm.valorResultadoFora)*--ISNUMBER(_xlpm.valorPalpiteCasa)*--ISNUMBER(_xlpm.valorPalpiteFora),_xlpm.difResultado,_xlpm.valorResultadoCasa-_xlpm.valorResultadoFora,_xlpm.difPalpite,_xlpm.valorPalpiteCasa-_xlpm.valorPalpiteFora,_xlpm.placarExato,--(_xlpm.valorResultadoCasa=_xlpm.valorPalpiteCasa)*--(_xlpm.valorResultadoFora=_xlpm.valorPalpiteFora),_xlpm.acertouVencedor,--(SIGN(_xlpm.difResultado)=SIGN(_xlpm.difPalpite)),_xlpm.diferencaOk,--(_xlpm.difResultado=_xlpm.difPalpite)*--(SIGN(_xlpm.difResultado)&lt;&gt;0),_xlpm.perdedorOk,_xlpm.acertouVencedor*--(((_xlpm.difResultado&gt;0)*(_xlpm.valorPalpiteFora=_xlpm.valorResultadoFora)+(_xlpm.difResultado&lt;0)*(_xlpm.valorPalpiteCasa=_xlpm.valorResultadoCasa))&gt;0),_xlpm.goleadaOk,--(ABS(_xlpm.difResultado)&gt;=4)*--(SIGN(_xlpm.difResultado)&lt;&gt;0)*_xlpm.acertouVencedor,SUMPRODUCT(_xlpm.linhaOk*(5*_xlpm.placarExato+(1-_xlpm.placarExato)*(3*_xlpm.acertouVencedor+2*_xlpm.diferencaOk+_xlpm.perdedorOk+_xlpm.goleadaOk)))),0)</f>
        <v>76</v>
      </c>
    </row>
    <row r="7" spans="1:18" ht="15.6" x14ac:dyDescent="0.3">
      <c r="A7" s="23">
        <v>46362</v>
      </c>
      <c r="B7" s="8" t="s">
        <v>15</v>
      </c>
      <c r="C7" s="6">
        <v>4</v>
      </c>
      <c r="D7" s="6">
        <v>1</v>
      </c>
      <c r="E7" s="27" t="s">
        <v>16</v>
      </c>
      <c r="F7" s="11">
        <v>3</v>
      </c>
      <c r="G7" s="30">
        <v>2</v>
      </c>
      <c r="H7" s="11">
        <v>2</v>
      </c>
      <c r="I7" s="30">
        <v>3</v>
      </c>
      <c r="J7" s="11">
        <v>1</v>
      </c>
      <c r="K7" s="30">
        <v>2</v>
      </c>
      <c r="L7" s="11">
        <v>1</v>
      </c>
      <c r="M7" s="30">
        <v>1</v>
      </c>
      <c r="N7" s="11">
        <v>1</v>
      </c>
      <c r="O7" s="12">
        <v>3</v>
      </c>
      <c r="P7" s="1"/>
      <c r="Q7" s="4" t="s">
        <v>6</v>
      </c>
      <c r="R7" s="5" cm="1">
        <f t="array" ref="R7">IFERROR(_xlfn.LET(_xlpm.linhaParticipante,ROW()-ROW($R$4),_xlpm.colunaPalpite,1+_xlpm.linhaParticipante*2,_xlpm.resultadoCasa,$C$4:$C43,_xlpm.resultadoFora,$D$4:$D$43,_xlpm.palpiteCasa,INDEX($F$4:$O$43,0,_xlpm.colunaPalpite),_xlpm.palpiteFora,INDEX($F$4:$O$43,0,_xlpm.colunaPalpite+1),_xlpm.valorResultadoCasa,IFERROR(VALUE(_xlpm.resultadoCasa),""),_xlpm.valorResultadoFora,IFERROR(VALUE(_xlpm.resultadoFora),""),_xlpm.valorPalpiteCasa,IFERROR(VALUE(_xlpm.palpiteCasa),""),_xlpm.valorPalpiteFora,IFERROR(VALUE(_xlpm.palpiteFora),""),_xlpm.linhaOk,--(_xlpm.resultadoCasa&lt;&gt;"")*--(_xlpm.resultadoFora&lt;&gt;"")*--(_xlpm.palpiteCasa&lt;&gt;"")*--(_xlpm.palpiteFora&lt;&gt;"")*--ISNUMBER(_xlpm.valorResultadoCasa)*--ISNUMBER(_xlpm.valorResultadoFora)*--ISNUMBER(_xlpm.valorPalpiteCasa)*--ISNUMBER(_xlpm.valorPalpiteFora),_xlpm.difResultado,_xlpm.valorResultadoCasa-_xlpm.valorResultadoFora,_xlpm.difPalpite,_xlpm.valorPalpiteCasa-_xlpm.valorPalpiteFora,_xlpm.placarExato,--(_xlpm.valorResultadoCasa=_xlpm.valorPalpiteCasa)*--(_xlpm.valorResultadoFora=_xlpm.valorPalpiteFora),_xlpm.acertouVencedor,--(SIGN(_xlpm.difResultado)=SIGN(_xlpm.difPalpite)),_xlpm.diferencaOk,--(_xlpm.difResultado=_xlpm.difPalpite)*--(SIGN(_xlpm.difResultado)&lt;&gt;0),_xlpm.perdedorOk,_xlpm.acertouVencedor*--(((_xlpm.difResultado&gt;0)*(_xlpm.valorPalpiteFora=_xlpm.valorResultadoFora)+(_xlpm.difResultado&lt;0)*(_xlpm.valorPalpiteCasa=_xlpm.valorResultadoCasa))&gt;0),_xlpm.goleadaOk,--(ABS(_xlpm.difResultado)&gt;=4)*--(SIGN(_xlpm.difResultado)&lt;&gt;0)*_xlpm.acertouVencedor,SUMPRODUCT(_xlpm.linhaOk*(5*_xlpm.placarExato+(1-_xlpm.placarExato)*(3*_xlpm.acertouVencedor+2*_xlpm.diferencaOk+_xlpm.perdedorOk+_xlpm.goleadaOk)))),0)</f>
        <v>80</v>
      </c>
    </row>
    <row r="8" spans="1:18" ht="15.6" x14ac:dyDescent="0.3">
      <c r="A8" s="24" t="s">
        <v>17</v>
      </c>
      <c r="B8" s="8" t="s">
        <v>18</v>
      </c>
      <c r="C8" s="6">
        <v>1</v>
      </c>
      <c r="D8" s="6">
        <v>1</v>
      </c>
      <c r="E8" s="27" t="s">
        <v>19</v>
      </c>
      <c r="F8" s="11">
        <v>0</v>
      </c>
      <c r="G8" s="30">
        <v>3</v>
      </c>
      <c r="H8" s="11">
        <v>0</v>
      </c>
      <c r="I8" s="30">
        <v>2</v>
      </c>
      <c r="J8" s="11">
        <v>0</v>
      </c>
      <c r="K8" s="30">
        <v>2</v>
      </c>
      <c r="L8" s="11">
        <v>0</v>
      </c>
      <c r="M8" s="30">
        <v>2</v>
      </c>
      <c r="N8" s="11">
        <v>1</v>
      </c>
      <c r="O8" s="12">
        <v>2</v>
      </c>
      <c r="P8" s="1"/>
      <c r="Q8" s="4" t="s">
        <v>7</v>
      </c>
      <c r="R8" s="5" cm="1">
        <f t="array" ref="R8">IFERROR(_xlfn.LET(_xlpm.linhaParticipante,ROW()-ROW($R$4),_xlpm.colunaPalpite,1+_xlpm.linhaParticipante*2,_xlpm.resultadoCasa,$C$4:$C43,_xlpm.resultadoFora,$D$4:$D$43,_xlpm.palpiteCasa,INDEX($F$4:$O$43,0,_xlpm.colunaPalpite),_xlpm.palpiteFora,INDEX($F$4:$O$43,0,_xlpm.colunaPalpite+1),_xlpm.valorResultadoCasa,IFERROR(VALUE(_xlpm.resultadoCasa),""),_xlpm.valorResultadoFora,IFERROR(VALUE(_xlpm.resultadoFora),""),_xlpm.valorPalpiteCasa,IFERROR(VALUE(_xlpm.palpiteCasa),""),_xlpm.valorPalpiteFora,IFERROR(VALUE(_xlpm.palpiteFora),""),_xlpm.linhaOk,--(_xlpm.resultadoCasa&lt;&gt;"")*--(_xlpm.resultadoFora&lt;&gt;"")*--(_xlpm.palpiteCasa&lt;&gt;"")*--(_xlpm.palpiteFora&lt;&gt;"")*--ISNUMBER(_xlpm.valorResultadoCasa)*--ISNUMBER(_xlpm.valorResultadoFora)*--ISNUMBER(_xlpm.valorPalpiteCasa)*--ISNUMBER(_xlpm.valorPalpiteFora),_xlpm.difResultado,_xlpm.valorResultadoCasa-_xlpm.valorResultadoFora,_xlpm.difPalpite,_xlpm.valorPalpiteCasa-_xlpm.valorPalpiteFora,_xlpm.placarExato,--(_xlpm.valorResultadoCasa=_xlpm.valorPalpiteCasa)*--(_xlpm.valorResultadoFora=_xlpm.valorPalpiteFora),_xlpm.acertouVencedor,--(SIGN(_xlpm.difResultado)=SIGN(_xlpm.difPalpite)),_xlpm.diferencaOk,--(_xlpm.difResultado=_xlpm.difPalpite)*--(SIGN(_xlpm.difResultado)&lt;&gt;0),_xlpm.perdedorOk,_xlpm.acertouVencedor*--(((_xlpm.difResultado&gt;0)*(_xlpm.valorPalpiteFora=_xlpm.valorResultadoFora)+(_xlpm.difResultado&lt;0)*(_xlpm.valorPalpiteCasa=_xlpm.valorResultadoCasa))&gt;0),_xlpm.goleadaOk,--(ABS(_xlpm.difResultado)&gt;=4)*--(SIGN(_xlpm.difResultado)&lt;&gt;0)*_xlpm.acertouVencedor,SUMPRODUCT(_xlpm.linhaOk*(5*_xlpm.placarExato+(1-_xlpm.placarExato)*(3*_xlpm.acertouVencedor+2*_xlpm.diferencaOk+_xlpm.perdedorOk+_xlpm.goleadaOk)))),0)</f>
        <v>90</v>
      </c>
    </row>
    <row r="9" spans="1:18" ht="15.6" x14ac:dyDescent="0.3">
      <c r="A9" s="24" t="s">
        <v>17</v>
      </c>
      <c r="B9" s="8" t="s">
        <v>20</v>
      </c>
      <c r="C9" s="6">
        <v>1</v>
      </c>
      <c r="D9" s="6">
        <v>1</v>
      </c>
      <c r="E9" s="27" t="s">
        <v>21</v>
      </c>
      <c r="F9" s="11">
        <v>3</v>
      </c>
      <c r="G9" s="30">
        <v>1</v>
      </c>
      <c r="H9" s="11">
        <v>3</v>
      </c>
      <c r="I9" s="30">
        <v>1</v>
      </c>
      <c r="J9" s="11">
        <v>2</v>
      </c>
      <c r="K9" s="30">
        <v>1</v>
      </c>
      <c r="L9" s="11">
        <v>2</v>
      </c>
      <c r="M9" s="30">
        <v>1</v>
      </c>
      <c r="N9" s="11">
        <v>4</v>
      </c>
      <c r="O9" s="12">
        <v>2</v>
      </c>
      <c r="P9" s="1"/>
      <c r="Q9" s="1"/>
      <c r="R9" s="1"/>
    </row>
    <row r="10" spans="1:18" ht="15.6" x14ac:dyDescent="0.3">
      <c r="A10" s="24" t="s">
        <v>17</v>
      </c>
      <c r="B10" s="8" t="s">
        <v>22</v>
      </c>
      <c r="C10" s="6">
        <v>0</v>
      </c>
      <c r="D10" s="6">
        <v>1</v>
      </c>
      <c r="E10" s="27" t="s">
        <v>23</v>
      </c>
      <c r="F10" s="11">
        <v>0</v>
      </c>
      <c r="G10" s="30">
        <v>5</v>
      </c>
      <c r="H10" s="11">
        <v>0</v>
      </c>
      <c r="I10" s="30">
        <v>2</v>
      </c>
      <c r="J10" s="11">
        <v>0</v>
      </c>
      <c r="K10" s="30">
        <v>1</v>
      </c>
      <c r="L10" s="11">
        <v>0</v>
      </c>
      <c r="M10" s="30">
        <v>1</v>
      </c>
      <c r="N10" s="11">
        <v>1</v>
      </c>
      <c r="O10" s="12">
        <v>2</v>
      </c>
      <c r="P10" s="1"/>
      <c r="Q10" s="1"/>
      <c r="R10" s="1"/>
    </row>
    <row r="11" spans="1:18" ht="15.6" x14ac:dyDescent="0.3">
      <c r="A11" s="24" t="s">
        <v>24</v>
      </c>
      <c r="B11" s="8" t="s">
        <v>25</v>
      </c>
      <c r="C11" s="6">
        <v>2</v>
      </c>
      <c r="D11" s="6">
        <v>0</v>
      </c>
      <c r="E11" s="27" t="s">
        <v>26</v>
      </c>
      <c r="F11" s="11">
        <v>0</v>
      </c>
      <c r="G11" s="30">
        <v>2</v>
      </c>
      <c r="H11" s="11">
        <v>0</v>
      </c>
      <c r="I11" s="30">
        <v>1</v>
      </c>
      <c r="J11" s="11">
        <v>0</v>
      </c>
      <c r="K11" s="30">
        <v>2</v>
      </c>
      <c r="L11" s="11">
        <v>0</v>
      </c>
      <c r="M11" s="30">
        <v>0</v>
      </c>
      <c r="N11" s="11">
        <v>1</v>
      </c>
      <c r="O11" s="12">
        <v>1</v>
      </c>
      <c r="P11" s="1"/>
      <c r="Q11" s="1"/>
      <c r="R11" s="1"/>
    </row>
    <row r="12" spans="1:18" ht="15.6" x14ac:dyDescent="0.3">
      <c r="A12" s="24" t="s">
        <v>24</v>
      </c>
      <c r="B12" s="8" t="s">
        <v>27</v>
      </c>
      <c r="C12" s="6">
        <v>7</v>
      </c>
      <c r="D12" s="6">
        <v>1</v>
      </c>
      <c r="E12" s="27" t="s">
        <v>28</v>
      </c>
      <c r="F12" s="11">
        <v>6</v>
      </c>
      <c r="G12" s="30">
        <v>0</v>
      </c>
      <c r="H12" s="11">
        <v>2</v>
      </c>
      <c r="I12" s="30">
        <v>0</v>
      </c>
      <c r="J12" s="11">
        <v>7</v>
      </c>
      <c r="K12" s="30">
        <v>1</v>
      </c>
      <c r="L12" s="11">
        <v>2</v>
      </c>
      <c r="M12" s="30">
        <v>0</v>
      </c>
      <c r="N12" s="11">
        <v>5</v>
      </c>
      <c r="O12" s="12">
        <v>2</v>
      </c>
      <c r="P12" s="1"/>
      <c r="Q12" s="1"/>
      <c r="R12" s="1"/>
    </row>
    <row r="13" spans="1:18" ht="15.6" x14ac:dyDescent="0.3">
      <c r="A13" s="24" t="s">
        <v>24</v>
      </c>
      <c r="B13" s="8" t="s">
        <v>29</v>
      </c>
      <c r="C13" s="6">
        <v>2</v>
      </c>
      <c r="D13" s="6">
        <v>2</v>
      </c>
      <c r="E13" s="27" t="s">
        <v>30</v>
      </c>
      <c r="F13" s="11">
        <v>1</v>
      </c>
      <c r="G13" s="30">
        <v>1</v>
      </c>
      <c r="H13" s="11">
        <v>1</v>
      </c>
      <c r="I13" s="30">
        <v>0</v>
      </c>
      <c r="J13" s="11">
        <v>1</v>
      </c>
      <c r="K13" s="30">
        <v>3</v>
      </c>
      <c r="L13" s="11">
        <v>1</v>
      </c>
      <c r="M13" s="30">
        <v>2</v>
      </c>
      <c r="N13" s="11">
        <v>2</v>
      </c>
      <c r="O13" s="12">
        <v>3</v>
      </c>
      <c r="P13" s="1"/>
      <c r="Q13" s="1"/>
      <c r="R13" s="1"/>
    </row>
    <row r="14" spans="1:18" ht="15.6" x14ac:dyDescent="0.3">
      <c r="A14" s="24" t="s">
        <v>24</v>
      </c>
      <c r="B14" s="8" t="s">
        <v>31</v>
      </c>
      <c r="C14" s="6">
        <v>1</v>
      </c>
      <c r="D14" s="6">
        <v>0</v>
      </c>
      <c r="E14" s="27" t="s">
        <v>32</v>
      </c>
      <c r="F14" s="11">
        <v>2</v>
      </c>
      <c r="G14" s="30">
        <v>2</v>
      </c>
      <c r="H14" s="11">
        <v>1</v>
      </c>
      <c r="I14" s="30">
        <v>2</v>
      </c>
      <c r="J14" s="11">
        <v>2</v>
      </c>
      <c r="K14" s="30">
        <v>2</v>
      </c>
      <c r="L14" s="11">
        <v>0</v>
      </c>
      <c r="M14" s="30">
        <v>4</v>
      </c>
      <c r="N14" s="11">
        <v>2</v>
      </c>
      <c r="O14" s="12">
        <v>2</v>
      </c>
      <c r="P14" s="1"/>
      <c r="Q14" s="1"/>
      <c r="R14" s="1"/>
    </row>
    <row r="15" spans="1:18" ht="15.6" x14ac:dyDescent="0.3">
      <c r="A15" s="24" t="s">
        <v>24</v>
      </c>
      <c r="B15" s="8" t="s">
        <v>33</v>
      </c>
      <c r="C15" s="6">
        <v>5</v>
      </c>
      <c r="D15" s="6">
        <v>1</v>
      </c>
      <c r="E15" s="27" t="s">
        <v>34</v>
      </c>
      <c r="F15" s="11">
        <v>1</v>
      </c>
      <c r="G15" s="30">
        <v>1</v>
      </c>
      <c r="H15" s="11">
        <v>0</v>
      </c>
      <c r="I15" s="30">
        <v>0</v>
      </c>
      <c r="J15" s="11">
        <v>0</v>
      </c>
      <c r="K15" s="30">
        <v>0</v>
      </c>
      <c r="L15" s="11">
        <v>2</v>
      </c>
      <c r="M15" s="30">
        <v>1</v>
      </c>
      <c r="N15" s="11">
        <v>2</v>
      </c>
      <c r="O15" s="12">
        <v>1</v>
      </c>
      <c r="P15" s="1"/>
      <c r="Q15" s="1"/>
      <c r="R15" s="1"/>
    </row>
    <row r="16" spans="1:18" ht="15.6" x14ac:dyDescent="0.3">
      <c r="A16" s="24" t="s">
        <v>35</v>
      </c>
      <c r="B16" s="8" t="s">
        <v>36</v>
      </c>
      <c r="C16" s="6">
        <v>0</v>
      </c>
      <c r="D16" s="6">
        <v>0</v>
      </c>
      <c r="E16" s="27" t="s">
        <v>37</v>
      </c>
      <c r="F16" s="11">
        <v>6</v>
      </c>
      <c r="G16" s="30">
        <v>0</v>
      </c>
      <c r="H16" s="11">
        <v>3</v>
      </c>
      <c r="I16" s="30">
        <v>0</v>
      </c>
      <c r="J16" s="11">
        <v>5</v>
      </c>
      <c r="K16" s="30">
        <v>0</v>
      </c>
      <c r="L16" s="13"/>
      <c r="M16" s="33"/>
      <c r="N16" s="11">
        <v>4</v>
      </c>
      <c r="O16" s="12">
        <v>1</v>
      </c>
      <c r="P16" s="1"/>
      <c r="Q16" s="1"/>
      <c r="R16" s="1"/>
    </row>
    <row r="17" spans="1:18" ht="15.6" x14ac:dyDescent="0.3">
      <c r="A17" s="24" t="s">
        <v>35</v>
      </c>
      <c r="B17" s="8" t="s">
        <v>38</v>
      </c>
      <c r="C17" s="6">
        <v>1</v>
      </c>
      <c r="D17" s="6">
        <v>1</v>
      </c>
      <c r="E17" s="27" t="s">
        <v>39</v>
      </c>
      <c r="F17" s="11">
        <v>1</v>
      </c>
      <c r="G17" s="30">
        <v>1</v>
      </c>
      <c r="H17" s="11">
        <v>2</v>
      </c>
      <c r="I17" s="30">
        <v>1</v>
      </c>
      <c r="J17" s="11">
        <v>1</v>
      </c>
      <c r="K17" s="30">
        <v>2</v>
      </c>
      <c r="L17" s="13"/>
      <c r="M17" s="33"/>
      <c r="N17" s="11">
        <v>2</v>
      </c>
      <c r="O17" s="12">
        <v>1</v>
      </c>
      <c r="P17" s="1"/>
      <c r="Q17" s="1"/>
      <c r="R17" s="1"/>
    </row>
    <row r="18" spans="1:18" ht="15.6" x14ac:dyDescent="0.3">
      <c r="A18" s="24" t="s">
        <v>35</v>
      </c>
      <c r="B18" s="8" t="s">
        <v>40</v>
      </c>
      <c r="C18" s="6">
        <v>1</v>
      </c>
      <c r="D18" s="6">
        <v>1</v>
      </c>
      <c r="E18" s="27" t="s">
        <v>41</v>
      </c>
      <c r="F18" s="11">
        <v>0</v>
      </c>
      <c r="G18" s="30">
        <v>1</v>
      </c>
      <c r="H18" s="11">
        <v>0</v>
      </c>
      <c r="I18" s="30">
        <v>1</v>
      </c>
      <c r="J18" s="11">
        <v>1</v>
      </c>
      <c r="K18" s="30">
        <v>3</v>
      </c>
      <c r="L18" s="13"/>
      <c r="M18" s="33"/>
      <c r="N18" s="11">
        <v>1</v>
      </c>
      <c r="O18" s="12">
        <v>3</v>
      </c>
      <c r="P18" s="1"/>
      <c r="Q18" s="1"/>
      <c r="R18" s="1"/>
    </row>
    <row r="19" spans="1:18" ht="15.6" x14ac:dyDescent="0.3">
      <c r="A19" s="24" t="s">
        <v>35</v>
      </c>
      <c r="B19" s="8" t="s">
        <v>42</v>
      </c>
      <c r="C19" s="6">
        <v>2</v>
      </c>
      <c r="D19" s="6">
        <v>2</v>
      </c>
      <c r="E19" s="27" t="s">
        <v>43</v>
      </c>
      <c r="F19" s="11">
        <v>2</v>
      </c>
      <c r="G19" s="30">
        <v>1</v>
      </c>
      <c r="H19" s="11">
        <v>3</v>
      </c>
      <c r="I19" s="30">
        <v>1</v>
      </c>
      <c r="J19" s="11">
        <v>2</v>
      </c>
      <c r="K19" s="30">
        <v>0</v>
      </c>
      <c r="L19" s="13"/>
      <c r="M19" s="33"/>
      <c r="N19" s="11">
        <v>1</v>
      </c>
      <c r="O19" s="12">
        <v>1</v>
      </c>
      <c r="P19" s="1"/>
      <c r="Q19" s="1"/>
      <c r="R19" s="1"/>
    </row>
    <row r="20" spans="1:18" ht="15.6" x14ac:dyDescent="0.3">
      <c r="A20" s="23">
        <v>46189</v>
      </c>
      <c r="B20" s="8" t="s">
        <v>44</v>
      </c>
      <c r="C20" s="6">
        <v>3</v>
      </c>
      <c r="D20" s="6">
        <v>1</v>
      </c>
      <c r="E20" s="27" t="s">
        <v>45</v>
      </c>
      <c r="F20" s="18">
        <v>1</v>
      </c>
      <c r="G20" s="31">
        <v>1</v>
      </c>
      <c r="H20" s="18">
        <v>1</v>
      </c>
      <c r="I20" s="31">
        <v>1</v>
      </c>
      <c r="J20" s="18">
        <v>1</v>
      </c>
      <c r="K20" s="31">
        <v>2</v>
      </c>
      <c r="L20" s="18">
        <v>2</v>
      </c>
      <c r="M20" s="31">
        <v>0</v>
      </c>
      <c r="N20" s="18">
        <v>3</v>
      </c>
      <c r="O20" s="19">
        <v>1</v>
      </c>
    </row>
    <row r="21" spans="1:18" ht="15.6" x14ac:dyDescent="0.3">
      <c r="A21" s="23">
        <v>46189</v>
      </c>
      <c r="B21" s="8" t="s">
        <v>46</v>
      </c>
      <c r="C21" s="6">
        <v>1</v>
      </c>
      <c r="D21" s="6">
        <v>4</v>
      </c>
      <c r="E21" s="27" t="s">
        <v>47</v>
      </c>
      <c r="F21" s="18">
        <v>1</v>
      </c>
      <c r="G21" s="31">
        <v>4</v>
      </c>
      <c r="H21" s="18">
        <v>1</v>
      </c>
      <c r="I21" s="31">
        <v>3</v>
      </c>
      <c r="J21" s="18">
        <v>0</v>
      </c>
      <c r="K21" s="31">
        <v>2</v>
      </c>
      <c r="L21" s="18">
        <v>0</v>
      </c>
      <c r="M21" s="31">
        <v>3</v>
      </c>
      <c r="N21" s="18">
        <v>1</v>
      </c>
      <c r="O21" s="19">
        <v>3</v>
      </c>
    </row>
    <row r="22" spans="1:18" ht="15.6" x14ac:dyDescent="0.3">
      <c r="A22" s="23">
        <v>46189</v>
      </c>
      <c r="B22" s="8" t="s">
        <v>48</v>
      </c>
      <c r="C22" s="6">
        <v>3</v>
      </c>
      <c r="D22" s="6">
        <v>0</v>
      </c>
      <c r="E22" s="27" t="s">
        <v>49</v>
      </c>
      <c r="F22" s="18">
        <v>4</v>
      </c>
      <c r="G22" s="31">
        <v>0</v>
      </c>
      <c r="H22" s="18">
        <v>3</v>
      </c>
      <c r="I22" s="31">
        <v>1</v>
      </c>
      <c r="J22" s="18">
        <v>2</v>
      </c>
      <c r="K22" s="31">
        <v>0</v>
      </c>
      <c r="L22" s="18">
        <v>3</v>
      </c>
      <c r="M22" s="31">
        <v>1</v>
      </c>
      <c r="N22" s="18">
        <v>3</v>
      </c>
      <c r="O22" s="19">
        <v>0</v>
      </c>
      <c r="R22" s="3"/>
    </row>
    <row r="23" spans="1:18" ht="15.6" x14ac:dyDescent="0.3">
      <c r="A23" s="23">
        <v>46189</v>
      </c>
      <c r="B23" s="8" t="s">
        <v>50</v>
      </c>
      <c r="C23" s="6">
        <v>3</v>
      </c>
      <c r="D23" s="6">
        <v>1</v>
      </c>
      <c r="E23" s="27" t="s">
        <v>51</v>
      </c>
      <c r="F23" s="18">
        <v>2</v>
      </c>
      <c r="G23" s="31">
        <v>1</v>
      </c>
      <c r="H23" s="18">
        <v>2</v>
      </c>
      <c r="I23" s="31">
        <v>1</v>
      </c>
      <c r="J23" s="18">
        <v>1</v>
      </c>
      <c r="K23" s="31">
        <v>0</v>
      </c>
      <c r="L23" s="18">
        <v>2</v>
      </c>
      <c r="M23" s="31">
        <v>0</v>
      </c>
      <c r="N23" s="18">
        <v>2</v>
      </c>
      <c r="O23" s="19">
        <v>1</v>
      </c>
    </row>
    <row r="24" spans="1:18" ht="15.6" x14ac:dyDescent="0.3">
      <c r="A24" s="23">
        <v>46190</v>
      </c>
      <c r="B24" s="8" t="s">
        <v>52</v>
      </c>
      <c r="C24" s="6">
        <v>1</v>
      </c>
      <c r="D24" s="6">
        <v>1</v>
      </c>
      <c r="E24" s="27" t="s">
        <v>53</v>
      </c>
      <c r="F24" s="18">
        <v>5</v>
      </c>
      <c r="G24" s="31">
        <v>0</v>
      </c>
      <c r="H24" s="18">
        <v>3</v>
      </c>
      <c r="I24" s="31">
        <v>0</v>
      </c>
      <c r="J24" s="18">
        <v>3</v>
      </c>
      <c r="K24" s="31">
        <v>0</v>
      </c>
      <c r="L24" s="18">
        <v>2</v>
      </c>
      <c r="M24" s="31">
        <v>0</v>
      </c>
      <c r="N24" s="18">
        <v>4</v>
      </c>
      <c r="O24" s="19">
        <v>0</v>
      </c>
    </row>
    <row r="25" spans="1:18" ht="15.6" x14ac:dyDescent="0.3">
      <c r="A25" s="23">
        <v>46190</v>
      </c>
      <c r="B25" s="8" t="s">
        <v>54</v>
      </c>
      <c r="C25" s="6">
        <v>4</v>
      </c>
      <c r="D25" s="6">
        <v>2</v>
      </c>
      <c r="E25" s="27" t="s">
        <v>55</v>
      </c>
      <c r="F25" s="18">
        <v>2</v>
      </c>
      <c r="G25" s="31">
        <v>1</v>
      </c>
      <c r="H25" s="18">
        <v>3</v>
      </c>
      <c r="I25" s="31">
        <v>1</v>
      </c>
      <c r="J25" s="18">
        <v>2</v>
      </c>
      <c r="K25" s="31">
        <v>0</v>
      </c>
      <c r="L25" s="18">
        <v>2</v>
      </c>
      <c r="M25" s="31">
        <v>2</v>
      </c>
      <c r="N25" s="18">
        <v>2</v>
      </c>
      <c r="O25" s="19">
        <v>1</v>
      </c>
    </row>
    <row r="26" spans="1:18" ht="15.6" x14ac:dyDescent="0.3">
      <c r="A26" s="23">
        <v>46190</v>
      </c>
      <c r="B26" s="8" t="s">
        <v>56</v>
      </c>
      <c r="C26" s="6">
        <v>1</v>
      </c>
      <c r="D26" s="6">
        <v>0</v>
      </c>
      <c r="E26" s="27" t="s">
        <v>57</v>
      </c>
      <c r="F26" s="18">
        <v>3</v>
      </c>
      <c r="G26" s="31">
        <v>1</v>
      </c>
      <c r="H26" s="18">
        <v>2</v>
      </c>
      <c r="I26" s="31">
        <v>1</v>
      </c>
      <c r="J26" s="18">
        <v>1</v>
      </c>
      <c r="K26" s="31">
        <v>0</v>
      </c>
      <c r="L26" s="18">
        <v>3</v>
      </c>
      <c r="M26" s="31">
        <v>1</v>
      </c>
      <c r="N26" s="18">
        <v>2</v>
      </c>
      <c r="O26" s="19">
        <v>1</v>
      </c>
    </row>
    <row r="27" spans="1:18" ht="15.6" x14ac:dyDescent="0.3">
      <c r="A27" s="23">
        <v>46190</v>
      </c>
      <c r="B27" s="8" t="s">
        <v>58</v>
      </c>
      <c r="C27" s="6">
        <v>1</v>
      </c>
      <c r="D27" s="6">
        <v>3</v>
      </c>
      <c r="E27" s="27" t="s">
        <v>59</v>
      </c>
      <c r="F27" s="18">
        <v>0</v>
      </c>
      <c r="G27" s="31">
        <v>2</v>
      </c>
      <c r="H27" s="18">
        <v>1</v>
      </c>
      <c r="I27" s="31">
        <v>3</v>
      </c>
      <c r="J27" s="18">
        <v>0</v>
      </c>
      <c r="K27" s="31">
        <v>3</v>
      </c>
      <c r="L27" s="18">
        <v>0</v>
      </c>
      <c r="M27" s="31">
        <v>3</v>
      </c>
      <c r="N27" s="18">
        <v>1</v>
      </c>
      <c r="O27" s="19">
        <v>2</v>
      </c>
    </row>
    <row r="28" spans="1:18" ht="15.6" x14ac:dyDescent="0.3">
      <c r="A28" s="23">
        <v>46191</v>
      </c>
      <c r="B28" s="8" t="s">
        <v>12</v>
      </c>
      <c r="C28" s="6">
        <v>1</v>
      </c>
      <c r="D28" s="6">
        <v>1</v>
      </c>
      <c r="E28" s="27" t="s">
        <v>10</v>
      </c>
      <c r="F28" s="18">
        <v>3</v>
      </c>
      <c r="G28" s="31">
        <v>1</v>
      </c>
      <c r="H28" s="18">
        <v>1</v>
      </c>
      <c r="I28" s="31">
        <v>1</v>
      </c>
      <c r="J28" s="13"/>
      <c r="K28" s="33"/>
      <c r="L28" s="18">
        <v>1</v>
      </c>
      <c r="M28" s="31">
        <v>0</v>
      </c>
      <c r="N28" s="18">
        <v>2</v>
      </c>
      <c r="O28" s="19">
        <v>1</v>
      </c>
    </row>
    <row r="29" spans="1:18" ht="15.6" x14ac:dyDescent="0.3">
      <c r="A29" s="23">
        <v>46191</v>
      </c>
      <c r="B29" s="8" t="s">
        <v>19</v>
      </c>
      <c r="C29" s="6">
        <v>4</v>
      </c>
      <c r="D29" s="6">
        <v>1</v>
      </c>
      <c r="E29" s="27" t="s">
        <v>14</v>
      </c>
      <c r="F29" s="18">
        <v>1</v>
      </c>
      <c r="G29" s="31">
        <v>0</v>
      </c>
      <c r="H29" s="18">
        <v>2</v>
      </c>
      <c r="I29" s="31">
        <v>1</v>
      </c>
      <c r="J29" s="13"/>
      <c r="K29" s="33"/>
      <c r="L29" s="18">
        <v>2</v>
      </c>
      <c r="M29" s="31">
        <v>1</v>
      </c>
      <c r="N29" s="18">
        <v>2</v>
      </c>
      <c r="O29" s="19">
        <v>0</v>
      </c>
    </row>
    <row r="30" spans="1:18" ht="15.6" x14ac:dyDescent="0.3">
      <c r="A30" s="23">
        <v>46191</v>
      </c>
      <c r="B30" s="8" t="s">
        <v>13</v>
      </c>
      <c r="C30" s="6">
        <v>6</v>
      </c>
      <c r="D30" s="6">
        <v>0</v>
      </c>
      <c r="E30" s="27" t="s">
        <v>18</v>
      </c>
      <c r="F30" s="18">
        <v>2</v>
      </c>
      <c r="G30" s="31">
        <v>0</v>
      </c>
      <c r="H30" s="18">
        <v>2</v>
      </c>
      <c r="I30" s="31">
        <v>0</v>
      </c>
      <c r="J30" s="13"/>
      <c r="K30" s="33"/>
      <c r="L30" s="18">
        <v>1</v>
      </c>
      <c r="M30" s="31">
        <v>0</v>
      </c>
      <c r="N30" s="18">
        <v>2</v>
      </c>
      <c r="O30" s="19">
        <v>0</v>
      </c>
    </row>
    <row r="31" spans="1:18" ht="15.6" x14ac:dyDescent="0.3">
      <c r="A31" s="23">
        <v>46191</v>
      </c>
      <c r="B31" s="8" t="s">
        <v>9</v>
      </c>
      <c r="C31" s="6">
        <v>1</v>
      </c>
      <c r="D31" s="6">
        <v>0</v>
      </c>
      <c r="E31" s="27" t="s">
        <v>11</v>
      </c>
      <c r="F31" s="18">
        <v>0</v>
      </c>
      <c r="G31" s="31">
        <v>2</v>
      </c>
      <c r="H31" s="18">
        <v>2</v>
      </c>
      <c r="I31" s="31">
        <v>1</v>
      </c>
      <c r="J31" s="13"/>
      <c r="K31" s="33"/>
      <c r="L31" s="18">
        <v>1</v>
      </c>
      <c r="M31" s="31">
        <v>1</v>
      </c>
      <c r="N31" s="18">
        <v>1</v>
      </c>
      <c r="O31" s="19">
        <v>2</v>
      </c>
    </row>
    <row r="32" spans="1:18" ht="15.6" x14ac:dyDescent="0.3">
      <c r="A32" s="23">
        <v>46192</v>
      </c>
      <c r="B32" s="8" t="s">
        <v>15</v>
      </c>
      <c r="C32" s="6">
        <v>2</v>
      </c>
      <c r="D32" s="6">
        <v>0</v>
      </c>
      <c r="E32" s="27" t="s">
        <v>60</v>
      </c>
      <c r="F32" s="18">
        <v>2</v>
      </c>
      <c r="G32" s="31">
        <v>2</v>
      </c>
      <c r="H32" s="18">
        <v>3</v>
      </c>
      <c r="I32" s="31">
        <v>1</v>
      </c>
      <c r="J32" s="18">
        <v>3</v>
      </c>
      <c r="K32" s="31">
        <v>0</v>
      </c>
      <c r="L32" s="18">
        <v>2</v>
      </c>
      <c r="M32" s="31">
        <v>0</v>
      </c>
      <c r="N32" s="18">
        <v>2</v>
      </c>
      <c r="O32" s="19">
        <v>1</v>
      </c>
    </row>
    <row r="33" spans="1:15" ht="15.6" x14ac:dyDescent="0.3">
      <c r="A33" s="23">
        <v>46192</v>
      </c>
      <c r="B33" s="8" t="s">
        <v>23</v>
      </c>
      <c r="C33" s="6">
        <v>0</v>
      </c>
      <c r="D33" s="6">
        <v>1</v>
      </c>
      <c r="E33" s="27" t="s">
        <v>21</v>
      </c>
      <c r="F33" s="18">
        <v>0</v>
      </c>
      <c r="G33" s="31">
        <v>3</v>
      </c>
      <c r="H33" s="18">
        <v>0</v>
      </c>
      <c r="I33" s="31">
        <v>2</v>
      </c>
      <c r="J33" s="18">
        <v>0</v>
      </c>
      <c r="K33" s="31">
        <v>2</v>
      </c>
      <c r="L33" s="18">
        <v>0</v>
      </c>
      <c r="M33" s="31">
        <v>1</v>
      </c>
      <c r="N33" s="18">
        <v>1</v>
      </c>
      <c r="O33" s="19">
        <v>3</v>
      </c>
    </row>
    <row r="34" spans="1:15" ht="15.6" x14ac:dyDescent="0.3">
      <c r="A34" s="23">
        <v>46192</v>
      </c>
      <c r="B34" s="8" t="s">
        <v>20</v>
      </c>
      <c r="C34" s="6">
        <v>3</v>
      </c>
      <c r="D34" s="6">
        <v>0</v>
      </c>
      <c r="E34" s="27" t="s">
        <v>22</v>
      </c>
      <c r="F34" s="18">
        <v>6</v>
      </c>
      <c r="G34" s="31">
        <v>0</v>
      </c>
      <c r="H34" s="18">
        <v>5</v>
      </c>
      <c r="I34" s="31">
        <v>1</v>
      </c>
      <c r="J34" s="18">
        <v>4</v>
      </c>
      <c r="K34" s="31">
        <v>0</v>
      </c>
      <c r="L34" s="18">
        <v>4</v>
      </c>
      <c r="M34" s="31">
        <v>1</v>
      </c>
      <c r="N34" s="18">
        <v>5</v>
      </c>
      <c r="O34" s="19">
        <v>1</v>
      </c>
    </row>
    <row r="35" spans="1:15" ht="15.6" x14ac:dyDescent="0.3">
      <c r="A35" s="23">
        <v>46192</v>
      </c>
      <c r="B35" s="8" t="s">
        <v>26</v>
      </c>
      <c r="C35" s="6">
        <v>0</v>
      </c>
      <c r="D35" s="6">
        <v>1</v>
      </c>
      <c r="E35" s="27" t="s">
        <v>16</v>
      </c>
      <c r="F35" s="18">
        <v>2</v>
      </c>
      <c r="G35" s="31">
        <v>1</v>
      </c>
      <c r="H35" s="18">
        <v>1</v>
      </c>
      <c r="I35" s="31">
        <v>1</v>
      </c>
      <c r="J35" s="18">
        <v>1</v>
      </c>
      <c r="K35" s="31">
        <v>2</v>
      </c>
      <c r="L35" s="18">
        <v>1</v>
      </c>
      <c r="M35" s="31">
        <v>1</v>
      </c>
      <c r="N35" s="18">
        <v>2</v>
      </c>
      <c r="O35" s="19">
        <v>2</v>
      </c>
    </row>
    <row r="36" spans="1:15" ht="15.6" x14ac:dyDescent="0.3">
      <c r="A36" s="23">
        <v>46193</v>
      </c>
      <c r="B36" s="8" t="s">
        <v>29</v>
      </c>
      <c r="C36" s="6">
        <v>5</v>
      </c>
      <c r="D36" s="6">
        <v>1</v>
      </c>
      <c r="E36" s="27" t="s">
        <v>33</v>
      </c>
      <c r="F36" s="18">
        <v>2</v>
      </c>
      <c r="G36" s="31">
        <v>3</v>
      </c>
      <c r="H36" s="18">
        <v>2</v>
      </c>
      <c r="I36" s="31">
        <v>1</v>
      </c>
      <c r="J36" s="18">
        <v>2</v>
      </c>
      <c r="K36" s="31">
        <v>1</v>
      </c>
      <c r="L36" s="18">
        <v>3</v>
      </c>
      <c r="M36" s="31">
        <v>1</v>
      </c>
      <c r="N36" s="18">
        <v>1</v>
      </c>
      <c r="O36" s="19">
        <v>2</v>
      </c>
    </row>
    <row r="37" spans="1:15" ht="15.6" x14ac:dyDescent="0.3">
      <c r="A37" s="23">
        <v>46193</v>
      </c>
      <c r="B37" s="8" t="s">
        <v>27</v>
      </c>
      <c r="C37" s="6">
        <v>2</v>
      </c>
      <c r="D37" s="6">
        <v>1</v>
      </c>
      <c r="E37" s="27" t="s">
        <v>31</v>
      </c>
      <c r="F37" s="18">
        <v>1</v>
      </c>
      <c r="G37" s="31">
        <v>1</v>
      </c>
      <c r="H37" s="18">
        <v>3</v>
      </c>
      <c r="I37" s="31">
        <v>2</v>
      </c>
      <c r="J37" s="18">
        <v>1</v>
      </c>
      <c r="K37" s="31">
        <v>2</v>
      </c>
      <c r="L37" s="18">
        <v>1</v>
      </c>
      <c r="M37" s="31">
        <v>1</v>
      </c>
      <c r="N37" s="18">
        <v>4</v>
      </c>
      <c r="O37" s="19">
        <v>2</v>
      </c>
    </row>
    <row r="38" spans="1:15" ht="15.6" x14ac:dyDescent="0.3">
      <c r="A38" s="23">
        <v>46193</v>
      </c>
      <c r="B38" s="8" t="s">
        <v>32</v>
      </c>
      <c r="C38" s="6">
        <v>0</v>
      </c>
      <c r="D38" s="6">
        <v>0</v>
      </c>
      <c r="E38" s="27" t="s">
        <v>61</v>
      </c>
      <c r="F38" s="18">
        <v>4</v>
      </c>
      <c r="G38" s="31">
        <v>0</v>
      </c>
      <c r="H38" s="18">
        <v>3</v>
      </c>
      <c r="I38" s="31">
        <v>1</v>
      </c>
      <c r="J38" s="18">
        <v>3</v>
      </c>
      <c r="K38" s="31">
        <v>0</v>
      </c>
      <c r="L38" s="18">
        <v>5</v>
      </c>
      <c r="M38" s="31">
        <v>0</v>
      </c>
      <c r="N38" s="18">
        <v>2</v>
      </c>
      <c r="O38" s="19">
        <v>1</v>
      </c>
    </row>
    <row r="39" spans="1:15" ht="15.6" x14ac:dyDescent="0.3">
      <c r="A39" s="23">
        <v>46193</v>
      </c>
      <c r="B39" s="8" t="s">
        <v>62</v>
      </c>
      <c r="C39" s="6">
        <v>0</v>
      </c>
      <c r="D39" s="6">
        <v>4</v>
      </c>
      <c r="E39" s="27" t="s">
        <v>30</v>
      </c>
      <c r="F39" s="18">
        <v>1</v>
      </c>
      <c r="G39" s="31">
        <v>3</v>
      </c>
      <c r="H39" s="18">
        <v>0</v>
      </c>
      <c r="I39" s="31">
        <v>2</v>
      </c>
      <c r="J39" s="18">
        <v>0</v>
      </c>
      <c r="K39" s="31">
        <v>2</v>
      </c>
      <c r="L39" s="18">
        <v>0</v>
      </c>
      <c r="M39" s="31">
        <v>1</v>
      </c>
      <c r="N39" s="18">
        <v>0</v>
      </c>
      <c r="O39" s="19">
        <v>2</v>
      </c>
    </row>
    <row r="40" spans="1:15" ht="15.6" x14ac:dyDescent="0.3">
      <c r="A40" s="23">
        <v>46194</v>
      </c>
      <c r="B40" s="8" t="s">
        <v>36</v>
      </c>
      <c r="C40" s="6">
        <v>4</v>
      </c>
      <c r="D40" s="6">
        <v>0</v>
      </c>
      <c r="E40" s="27" t="s">
        <v>40</v>
      </c>
      <c r="F40" s="18">
        <v>3</v>
      </c>
      <c r="G40" s="31">
        <v>1</v>
      </c>
      <c r="H40" s="18">
        <v>2</v>
      </c>
      <c r="I40" s="31">
        <v>0</v>
      </c>
      <c r="J40" s="18">
        <v>1</v>
      </c>
      <c r="K40" s="31">
        <v>0</v>
      </c>
      <c r="L40" s="18">
        <v>6</v>
      </c>
      <c r="M40" s="31">
        <v>1</v>
      </c>
      <c r="N40" s="18">
        <v>3</v>
      </c>
      <c r="O40" s="19">
        <v>0</v>
      </c>
    </row>
    <row r="41" spans="1:15" ht="15.6" x14ac:dyDescent="0.3">
      <c r="A41" s="23">
        <v>46194</v>
      </c>
      <c r="B41" s="8" t="s">
        <v>38</v>
      </c>
      <c r="C41" s="6">
        <v>0</v>
      </c>
      <c r="D41" s="6">
        <v>0</v>
      </c>
      <c r="E41" s="27" t="s">
        <v>42</v>
      </c>
      <c r="F41" s="18">
        <v>2</v>
      </c>
      <c r="G41" s="31">
        <v>1</v>
      </c>
      <c r="H41" s="18">
        <v>3</v>
      </c>
      <c r="I41" s="31">
        <v>1</v>
      </c>
      <c r="J41" s="18">
        <v>1</v>
      </c>
      <c r="K41" s="31">
        <v>2</v>
      </c>
      <c r="L41" s="18">
        <v>4</v>
      </c>
      <c r="M41" s="31">
        <v>0</v>
      </c>
      <c r="N41" s="18">
        <v>2</v>
      </c>
      <c r="O41" s="19">
        <v>0</v>
      </c>
    </row>
    <row r="42" spans="1:15" ht="15.6" x14ac:dyDescent="0.3">
      <c r="A42" s="23">
        <v>46194</v>
      </c>
      <c r="B42" s="8" t="s">
        <v>41</v>
      </c>
      <c r="C42" s="6">
        <v>2</v>
      </c>
      <c r="D42" s="6">
        <v>2</v>
      </c>
      <c r="E42" s="27" t="s">
        <v>37</v>
      </c>
      <c r="F42" s="18">
        <v>3</v>
      </c>
      <c r="G42" s="31">
        <v>0</v>
      </c>
      <c r="H42" s="18">
        <v>1</v>
      </c>
      <c r="I42" s="31">
        <v>0</v>
      </c>
      <c r="J42" s="18">
        <v>2</v>
      </c>
      <c r="K42" s="31">
        <v>0</v>
      </c>
      <c r="L42" s="18">
        <v>2</v>
      </c>
      <c r="M42" s="31">
        <v>0</v>
      </c>
      <c r="N42" s="18">
        <v>2</v>
      </c>
      <c r="O42" s="19">
        <v>0</v>
      </c>
    </row>
    <row r="43" spans="1:15" ht="16.2" thickBot="1" x14ac:dyDescent="0.35">
      <c r="A43" s="23">
        <v>46194</v>
      </c>
      <c r="B43" s="9" t="s">
        <v>43</v>
      </c>
      <c r="C43" s="10">
        <v>1</v>
      </c>
      <c r="D43" s="10">
        <v>3</v>
      </c>
      <c r="E43" s="28" t="s">
        <v>39</v>
      </c>
      <c r="F43" s="20">
        <v>1</v>
      </c>
      <c r="G43" s="32">
        <v>2</v>
      </c>
      <c r="H43" s="20">
        <v>1</v>
      </c>
      <c r="I43" s="32">
        <v>2</v>
      </c>
      <c r="J43" s="20">
        <v>0</v>
      </c>
      <c r="K43" s="32">
        <v>2</v>
      </c>
      <c r="L43" s="20">
        <v>1</v>
      </c>
      <c r="M43" s="32">
        <v>1</v>
      </c>
      <c r="N43" s="20">
        <v>0</v>
      </c>
      <c r="O43" s="21">
        <v>2</v>
      </c>
    </row>
  </sheetData>
  <mergeCells count="8">
    <mergeCell ref="Q3:R3"/>
    <mergeCell ref="A1:O1"/>
    <mergeCell ref="B3:E3"/>
    <mergeCell ref="F3:G3"/>
    <mergeCell ref="H3:I3"/>
    <mergeCell ref="J3:K3"/>
    <mergeCell ref="L3:M3"/>
    <mergeCell ref="N3:O3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Enos Lira</dc:creator>
  <cp:keywords/>
  <dc:description/>
  <cp:lastModifiedBy>Enos Leno de Castro Lira</cp:lastModifiedBy>
  <cp:revision/>
  <dcterms:created xsi:type="dcterms:W3CDTF">2026-06-12T18:00:53Z</dcterms:created>
  <dcterms:modified xsi:type="dcterms:W3CDTF">2026-06-22T15:27:16Z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2026-06-12T19:08:54Z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10b1f3cc-df84-4ce6-9f70-34ed5bfffa35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